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edfa630ec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CALCULATOR" sheetId="1" r:id="R86f68269125d4de7"/>
    <x:sheet xmlns:r="http://schemas.openxmlformats.org/officeDocument/2006/relationships" name="INSTRUCTIONS" sheetId="2" r:id="Re60891fb16be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$#,##0.00;[Red]($#,##0.00)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2E3135"/>
      <x:name val="Carlito"/>
    </x:font>
    <x:font>
      <x:b/>
      <x:sz val="11"/>
      <x:color rgb="FF1F3556"/>
      <x:name val="Carlito"/>
    </x:font>
    <x:font>
      <x:b/>
      <x:sz val="13"/>
      <x:color rgb="FFFFFFFF"/>
      <x:name val="Carlito"/>
    </x:font>
    <x:font>
      <x:b/>
      <x:sz val="13"/>
      <x:color rgb="FF1F355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3556"/>
      </x:patternFill>
    </x:fill>
    <x:fill>
      <x:patternFill patternType="solid">
        <x:fgColor rgb="FF7E9B8A"/>
      </x:patternFill>
    </x:fill>
    <x:fill>
      <x:patternFill patternType="solid">
        <x:fgColor rgb="FFE7F0E9"/>
      </x:patternFill>
    </x:fill>
    <x:fill>
      <x:patternFill patternType="solid">
        <x:fgColor rgb="FFF7F3EB"/>
      </x:patternFill>
    </x:fill>
    <x:fill>
      <x:patternFill patternType="solid">
        <x:fgColor rgb="FFF5F7F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49523d8814841" /><Relationship Type="http://schemas.openxmlformats.org/officeDocument/2006/relationships/theme" Target="/xl/theme/theme1.xml" Id="R56adb47cf75e4a66" /><Relationship Type="http://schemas.openxmlformats.org/officeDocument/2006/relationships/sharedStrings" Target="/xl/sharedStrings.xml" Id="Rfbe5f982c6034f4b" /><Relationship Type="http://schemas.openxmlformats.org/officeDocument/2006/relationships/worksheet" Target="/xl/worksheets/sheet1.xml" Id="R86f68269125d4de7" /><Relationship Type="http://schemas.openxmlformats.org/officeDocument/2006/relationships/worksheet" Target="/xl/worksheets/sheet2.xml" Id="Re60891fb16be4c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8" hidden="0" customWidth="1"/>
  </x:cols>
  <x:sheetData>
    <x:row r="1" ht="27" customHeight="1">
      <x:c r="A1" s="4" t="str">
        <x:v>FREE JOB COST &amp; PROFIT SNAPSHOT</x:v>
      </x:c>
      <x:c r="B1" s="4"/>
      <x:c r="C1" s="4"/>
      <x:c r="D1" s="4"/>
      <x:c r="E1" s="4"/>
    </x:row>
    <x:row r="2" ht="27" customHeight="1">
      <x:c r="A2" s="4"/>
      <x:c r="B2" s="4"/>
      <x:c r="C2" s="4"/>
      <x:c r="D2" s="4"/>
      <x:c r="E2" s="4"/>
    </x:row>
    <x:row r="4" ht="27" customHeight="1">
      <x:c r="A4" s="9" t="str">
        <x:v>EDIT THESE ASSUMPTIONS</x:v>
      </x:c>
      <x:c r="B4" s="9" t="str">
        <x:v>Value</x:v>
      </x:c>
    </x:row>
    <x:row r="5" ht="22" customHeight="1">
      <x:c r="A5" s="12" t="str">
        <x:v>Price charged to customer ($)</x:v>
      </x:c>
      <x:c r="B5" s="18" t="n">
        <x:v>300</x:v>
      </x:c>
    </x:row>
    <x:row r="6" ht="22" customHeight="1">
      <x:c r="A6" s="12" t="str">
        <x:v>Estimated owner labor hours</x:v>
      </x:c>
      <x:c r="B6" s="15" t="n">
        <x:v>3</x:v>
      </x:c>
    </x:row>
    <x:row r="7" ht="22" customHeight="1">
      <x:c r="A7" s="12" t="str">
        <x:v>Your labor allowance / hr ($)</x:v>
      </x:c>
      <x:c r="B7" s="18" t="n">
        <x:v>25</x:v>
      </x:c>
    </x:row>
    <x:row r="8" ht="22" customHeight="1">
      <x:c r="A8" s="12" t="str">
        <x:v>Supplies and materials ($)</x:v>
      </x:c>
      <x:c r="B8" s="18" t="n">
        <x:v>20</x:v>
      </x:c>
    </x:row>
    <x:row r="9" ht="22" customHeight="1">
      <x:c r="A9" s="12" t="str">
        <x:v>Travel / fuel allowance ($)</x:v>
      </x:c>
      <x:c r="B9" s="18" t="n">
        <x:v>15</x:v>
      </x:c>
    </x:row>
    <x:row r="10" ht="22" customHeight="1">
      <x:c r="A10" s="12" t="str">
        <x:v>Other job costs ($)</x:v>
      </x:c>
      <x:c r="B10" s="18" t="n">
        <x:v>5</x:v>
      </x:c>
    </x:row>
    <x:row r="11" ht="22" customHeight="1">
      <x:c r="A11" s="12" t="str">
        <x:v>Payment processing fee (%)</x:v>
      </x:c>
      <x:c r="B11" s="20" t="n">
        <x:v>0.03</x:v>
      </x:c>
    </x:row>
    <x:row r="13" ht="27" customHeight="1">
      <x:c r="A13" s="9" t="str">
        <x:v>ESTIMATED RESULTS</x:v>
      </x:c>
      <x:c r="B13" s="9" t="str">
        <x:v>Amount</x:v>
      </x:c>
    </x:row>
    <x:row r="14">
      <x:c r="A14" t="str">
        <x:v>Labor allowance</x:v>
      </x:c>
      <x:c r="B14" s="30" t="n">
        <x:f>IF($B$21="OK",B6*B7,"")</x:f>
        <x:v>75</x:v>
      </x:c>
    </x:row>
    <x:row r="15">
      <x:c r="A15" t="str">
        <x:v>Other direct costs</x:v>
      </x:c>
      <x:c r="B15" s="30" t="n">
        <x:f>IF($B$21="OK",SUM(B8:B10),"")</x:f>
        <x:v>40</x:v>
      </x:c>
    </x:row>
    <x:row r="16">
      <x:c r="A16" t="str">
        <x:v>Payment processing cost</x:v>
      </x:c>
      <x:c r="B16" s="30" t="n">
        <x:f>IF($B$21="OK",B5*B11,"")</x:f>
        <x:v>9</x:v>
      </x:c>
    </x:row>
    <x:row r="17">
      <x:c r="A17" t="str">
        <x:v>Total modeled costs</x:v>
      </x:c>
      <x:c r="B17" s="30" t="n">
        <x:f>IF($B$21="OK",SUM(B14:B16),"")</x:f>
        <x:v>124</x:v>
      </x:c>
    </x:row>
    <x:row r="18">
      <x:c r="A18" s="14" t="str">
        <x:v>Estimated operating profit</x:v>
      </x:c>
      <x:c r="B18" s="34" t="n">
        <x:f>IF($B$21="OK",B5-B17,"")</x:f>
        <x:v>176</x:v>
      </x:c>
    </x:row>
    <x:row r="19">
      <x:c r="A19" s="14" t="str">
        <x:v>Operating profit margin</x:v>
      </x:c>
      <x:c r="B19" s="35" t="n">
        <x:f>IF($B$21="OK",IFERROR(B18/B5,0),"")</x:f>
        <x:v>0.5866666666666667</x:v>
      </x:c>
    </x:row>
    <x:row r="21" ht="33" customHeight="1">
      <x:c r="A21" s="23" t="str">
        <x:v>INPUT STATUS</x:v>
      </x:c>
      <x:c r="B21" s="28" t="str">
        <x:f>IF(OR(COUNT(B5:B11)&lt;&gt;7,MIN(B5:B11)&lt;0,B11&gt;=1),"REVIEW INPUTS","OK")</x:f>
        <x:v>OK</x:v>
      </x:c>
    </x:row>
    <x:row r="23" ht="52" customHeight="1">
      <x:c r="A23" s="39" t="str">
        <x:v>IMPORTANT</x:v>
      </x:c>
      <x:c r="B23" s="39" t="str">
        <x:v>This free calculator models only the costs you enter. Profit is not after tax, and does not include unentered overhead.</x:v>
      </x:c>
    </x:row>
    <x:row r="24" ht="52" customHeight="1">
      <x:c r="A24" s="39" t="str">
        <x:v>NEXT STEP</x:v>
      </x:c>
      <x:c r="B24" s="39" t="str">
        <x:v>For industry-specific quoting and multi-job dashboards, explore The Spreadsheet Studio's full products when they launch.</x:v>
      </x:c>
    </x:row>
  </x:sheetData>
  <x:mergeCells>
    <x:mergeCell ref="A1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5" hidden="0" customWidth="1"/>
  </x:cols>
  <x:sheetData>
    <x:row r="1" ht="27" customHeight="1">
      <x:c r="A1" s="4" t="str">
        <x:v>THE SPREADSHEET STUDIO  |  HOW TO USE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4" ht="42" customHeight="1">
      <x:c r="A4" s="43" t="str">
        <x:v>1</x:v>
      </x:c>
      <x:c r="B4" s="46" t="str">
        <x:v>Open QUICK CALCULATOR and enter your own job price and estimated expenses in pale-green cells.</x:v>
      </x:c>
    </x:row>
    <x:row r="5" ht="42" customHeight="1">
      <x:c r="A5" s="43" t="str">
        <x:v>2</x:v>
      </x:c>
      <x:c r="B5" s="46" t="str">
        <x:v>Owner labor is treated as a cost allowance, separate from the estimated operating profit.</x:v>
      </x:c>
    </x:row>
    <x:row r="6" ht="42" customHeight="1">
      <x:c r="A6" s="43" t="str">
        <x:v>3</x:v>
      </x:c>
      <x:c r="B6" s="46" t="str">
        <x:v>Check that INPUT STATUS says OK; invalid or missing numbers must be corrected.</x:v>
      </x:c>
    </x:row>
    <x:row r="7" ht="42" customHeight="1">
      <x:c r="A7" s="43" t="str">
        <x:v>4</x:v>
      </x:c>
      <x:c r="B7" s="46" t="str">
        <x:v>Read modeled profit and margin; don't assume all taxes or overhead are included.</x:v>
      </x:c>
    </x:row>
    <x:row r="8" ht="42" customHeight="1">
      <x:c r="A8" s="43" t="str">
        <x:v>5</x:v>
      </x:c>
      <x:c r="B8" s="46" t="str">
        <x:v>Save a copy before changing anything; sample numbers are purely illustrative.</x:v>
      </x:c>
    </x:row>
    <x:row r="9" ht="42" customHeight="1">
      <x:c r="A9" s="43" t="str">
        <x:v>SUPPORT</x:v>
      </x:c>
      <x:c r="B9" s="46" t="str">
        <x:v>thespreadsheetstudio@outlook.com | free introduction to our spreadsheet collection.</x:v>
      </x:c>
    </x:row>
  </x:sheetData>
  <x:mergeCells>
    <x:mergeCell ref="A1:F2"/>
  </x:mergeCells>
  <x:pageMargins left="0.7" right="0.7" top="0.75" bottom="0.75" header="0.3" footer="0.3"/>
</x:worksheet>
</file>